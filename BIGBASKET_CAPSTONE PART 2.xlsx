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SUMMARY SHEET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<sst xmlns="http://schemas.openxmlformats.org/spreadsheetml/2006/main" count="81" uniqueCount="22">
  <si>
    <t>category</t>
  </si>
  <si>
    <t>order_month</t>
  </si>
  <si>
    <t>total_orders</t>
  </si>
  <si>
    <t>total_revenue</t>
  </si>
  <si>
    <t>average_revenue</t>
  </si>
  <si>
    <t>Bakery</t>
  </si>
  <si>
    <t>SUMMARY SHEET</t>
  </si>
  <si>
    <t>SUM of total_revenue</t>
  </si>
  <si>
    <t>SUM of total_orders</t>
  </si>
  <si>
    <t>Dairy &amp; Eggs</t>
  </si>
  <si>
    <t>Target_revenue_inr</t>
  </si>
  <si>
    <t>variance</t>
  </si>
  <si>
    <t>percentage_variance</t>
  </si>
  <si>
    <t>target_status</t>
  </si>
  <si>
    <t>Matches Part 1 SQL total?</t>
  </si>
  <si>
    <t>Fruits &amp; Vegetables</t>
  </si>
  <si>
    <t>target_revenue_inr</t>
  </si>
  <si>
    <t>Household Essentials</t>
  </si>
  <si>
    <t>Personal Care</t>
  </si>
  <si>
    <t>Snacks &amp; Beverages</t>
  </si>
  <si>
    <t>Grand Total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</si>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</sst>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0.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9.0"/>
      <color rgb="FF741B47"/>
      <name val="Archivo Black"/>
    </font>
    <font>
      <b/>
      <sz val="15.0"/>
      <color theme="1"/>
      <name val="Arial"/>
      <scheme val="minor"/>
    </font>
    <font>
      <b/>
      <i/>
      <sz val="12.0"/>
      <color theme="1"/>
      <name val="Arial"/>
    </font>
    <font>
      <b/>
      <sz val="12.0"/>
      <color rgb="FFFFFFFF"/>
      <name val="Arial"/>
    </font>
    <font>
      <color theme="1"/>
      <name val="Comic Sans MS"/>
    </font>
    <font>
      <sz val="11.0"/>
      <color rgb="FF415173"/>
      <name val="Inter"/>
    </font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2" fontId="4" numFmtId="165" xfId="0" applyAlignment="1" applyFill="1" applyFont="1" applyNumberFormat="1">
      <alignment horizontal="center" readingOrder="0"/>
    </xf>
    <xf borderId="2" fillId="3" fontId="5" numFmtId="0" xfId="0" applyAlignment="1" applyBorder="1" applyFill="1" applyFont="1">
      <alignment horizontal="center" vertical="bottom"/>
    </xf>
    <xf borderId="2" fillId="4" fontId="6" numFmtId="0" xfId="0" applyAlignment="1" applyBorder="1" applyFill="1" applyFont="1">
      <alignment horizontal="center" vertical="bottom"/>
    </xf>
    <xf borderId="2" fillId="4" fontId="6" numFmtId="165" xfId="0" applyAlignment="1" applyBorder="1" applyFill="1" applyFont="1" applyNumberFormat="1">
      <alignment horizontal="center" vertical="bottom"/>
    </xf>
    <xf borderId="2" fillId="4" fontId="6" numFmtId="165" xfId="0" applyAlignment="1" applyBorder="1" applyFill="1" applyFont="1" applyNumberFormat="1">
      <alignment horizontal="center" readingOrder="0" vertical="bottom"/>
    </xf>
    <xf borderId="1" fillId="5" fontId="7" numFmtId="0" xfId="0" applyAlignment="1" applyBorder="1" applyFill="1" applyFont="1">
      <alignment horizontal="center" vertical="bottom"/>
    </xf>
    <xf borderId="1" fillId="6" fontId="8" numFmtId="0" xfId="0" applyAlignment="1" applyBorder="1" applyFill="1" applyFont="1">
      <alignment horizontal="center" readingOrder="0" shrinkToFit="0" wrapText="1"/>
    </xf>
    <xf borderId="1" fillId="6" fontId="9" numFmtId="0" xfId="0" applyAlignment="1" applyBorder="1" applyFill="1" applyFont="1">
      <alignment horizontal="center" vertical="bottom"/>
    </xf>
    <xf borderId="1" fillId="6" fontId="8" numFmtId="0" xfId="0" applyAlignment="1" applyBorder="1" applyFill="1" applyFont="1">
      <alignment horizontal="left" readingOrder="0" shrinkToFit="0" wrapText="1"/>
    </xf>
    <xf borderId="1" fillId="7" fontId="8" numFmtId="0" xfId="0" applyAlignment="1" applyBorder="1" applyFill="1" applyFont="1">
      <alignment horizontal="left" readingOrder="0" shrinkToFit="0" wrapText="1"/>
    </xf>
    <xf borderId="3" fillId="7" fontId="8" numFmtId="0" xfId="0" applyAlignment="1" applyBorder="1" applyFill="1" applyFont="1">
      <alignment horizontal="left" readingOrder="0" shrinkToFit="0" wrapText="1"/>
    </xf>
    <xf borderId="0" fillId="7" fontId="8" numFmtId="0" xfId="0" applyAlignment="1" applyFill="1" applyFont="1">
      <alignment horizontal="left" readingOrder="0" shrinkToFit="0" wrapText="1"/>
    </xf>
    <xf borderId="1" fillId="6" fontId="9" numFmtId="165" xfId="0" applyAlignment="1" applyBorder="1" applyFill="1" applyFont="1" applyNumberFormat="1">
      <alignment horizontal="center" vertical="bottom"/>
    </xf>
    <xf borderId="1" fillId="3" fontId="10" numFmtId="0" xfId="0" applyAlignment="1" applyBorder="1" applyFill="1" applyFont="1">
      <alignment horizontal="center" vertical="bottom"/>
    </xf>
    <xf borderId="1" fillId="3" fontId="10" numFmtId="165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0" fillId="6" fontId="8" numFmtId="0" xfId="0" applyAlignment="1" applyFill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order_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total_orders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erage_revenue" numFmtId="0">
      <sharedItems containsSemiMixedTypes="0" containsString="0" containsNumber="1">
        <n v="122.5"/>
        <n v="305.0"/>
        <n v="280.9"/>
        <n v="239.6"/>
        <n v="246.3"/>
        <n v="166.8"/>
        <n v="226.1"/>
        <n v="241.9"/>
        <n v="210.9"/>
        <n v="183.3"/>
        <n v="248.5"/>
        <n v="166.2"/>
        <n v="107.5"/>
        <n v="160.8"/>
        <n v="160.0"/>
        <n v="100.0"/>
        <n v="155.8"/>
        <n v="117.8"/>
        <n v="209.9"/>
        <n v="319.6"/>
        <n v="235.6"/>
        <n v="323.0"/>
        <n v="217.3"/>
        <n v="304.2"/>
        <n v="300.7"/>
        <n v="272.1"/>
        <n v="255.2"/>
        <n v="218.9"/>
        <n v="234.2"/>
        <n v="213.5"/>
        <n v="129.0"/>
        <n v="120.9"/>
        <n v="111.3"/>
        <n v="156.8"/>
        <n v="128.1"/>
        <n v="130.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order_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ord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erage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total_order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7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>
        <v>46023.0</v>
      </c>
      <c r="C2" s="5">
        <v>6.0</v>
      </c>
      <c r="D2" s="5">
        <v>735.0</v>
      </c>
      <c r="E2" s="5">
        <v>122.5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5</v>
      </c>
      <c r="B3" s="6">
        <v>46054.0</v>
      </c>
      <c r="C3" s="5">
        <v>8.0</v>
      </c>
      <c r="D3" s="5">
        <v>2440.0</v>
      </c>
      <c r="E3" s="5">
        <v>305.0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5</v>
      </c>
      <c r="B4" s="6">
        <v>46082.0</v>
      </c>
      <c r="C4" s="5">
        <v>11.0</v>
      </c>
      <c r="D4" s="5">
        <v>3090.0</v>
      </c>
      <c r="E4" s="5">
        <v>280.9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5</v>
      </c>
      <c r="B5" s="6">
        <v>46113.0</v>
      </c>
      <c r="C5" s="5">
        <v>13.0</v>
      </c>
      <c r="D5" s="5">
        <v>3115.0</v>
      </c>
      <c r="E5" s="5">
        <v>239.6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5</v>
      </c>
      <c r="B6" s="6">
        <v>46143.0</v>
      </c>
      <c r="C6" s="5">
        <v>15.0</v>
      </c>
      <c r="D6" s="5">
        <v>3695.0</v>
      </c>
      <c r="E6" s="5">
        <v>246.3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5</v>
      </c>
      <c r="B7" s="6">
        <v>46174.0</v>
      </c>
      <c r="C7" s="5">
        <v>14.0</v>
      </c>
      <c r="D7" s="5">
        <v>2335.0</v>
      </c>
      <c r="E7" s="5">
        <v>166.8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9</v>
      </c>
      <c r="B8" s="6">
        <v>46023.0</v>
      </c>
      <c r="C8" s="5">
        <v>9.0</v>
      </c>
      <c r="D8" s="5">
        <v>2035.0</v>
      </c>
      <c r="E8" s="5">
        <v>226.1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9</v>
      </c>
      <c r="B9" s="6">
        <v>46054.0</v>
      </c>
      <c r="C9" s="5">
        <v>8.0</v>
      </c>
      <c r="D9" s="5">
        <v>1935.0</v>
      </c>
      <c r="E9" s="5">
        <v>241.9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9</v>
      </c>
      <c r="B10" s="6">
        <v>46082.0</v>
      </c>
      <c r="C10" s="5">
        <v>15.0</v>
      </c>
      <c r="D10" s="5">
        <v>3163.0</v>
      </c>
      <c r="E10" s="5">
        <v>210.9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9</v>
      </c>
      <c r="B11" s="6">
        <v>46113.0</v>
      </c>
      <c r="C11" s="5">
        <v>9.0</v>
      </c>
      <c r="D11" s="5">
        <v>1650.0</v>
      </c>
      <c r="E11" s="5">
        <v>183.3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 t="s">
        <v>9</v>
      </c>
      <c r="B12" s="6">
        <v>46143.0</v>
      </c>
      <c r="C12" s="5">
        <v>14.0</v>
      </c>
      <c r="D12" s="5">
        <v>3479.0</v>
      </c>
      <c r="E12" s="5">
        <v>248.5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9</v>
      </c>
      <c r="B13" s="6">
        <v>46174.0</v>
      </c>
      <c r="C13" s="5">
        <v>11.0</v>
      </c>
      <c r="D13" s="5">
        <v>1828.0</v>
      </c>
      <c r="E13" s="5">
        <v>166.2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 t="s">
        <v>15</v>
      </c>
      <c r="B14" s="6">
        <v>46023.0</v>
      </c>
      <c r="C14" s="5">
        <v>12.0</v>
      </c>
      <c r="D14" s="5">
        <v>1290.0</v>
      </c>
      <c r="E14" s="5">
        <v>107.5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 t="s">
        <v>15</v>
      </c>
      <c r="B15" s="6">
        <v>46054.0</v>
      </c>
      <c r="C15" s="5">
        <v>13.0</v>
      </c>
      <c r="D15" s="5">
        <v>2090.0</v>
      </c>
      <c r="E15" s="5">
        <v>160.8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 t="s">
        <v>15</v>
      </c>
      <c r="B16" s="6">
        <v>46082.0</v>
      </c>
      <c r="C16" s="5">
        <v>13.0</v>
      </c>
      <c r="D16" s="5">
        <v>2080.0</v>
      </c>
      <c r="E16" s="5">
        <v>160.0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15</v>
      </c>
      <c r="B17" s="6">
        <v>46113.0</v>
      </c>
      <c r="C17" s="5">
        <v>14.0</v>
      </c>
      <c r="D17" s="5">
        <v>1400.0</v>
      </c>
      <c r="E17" s="5">
        <v>100.0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15</v>
      </c>
      <c r="B18" s="6">
        <v>46143.0</v>
      </c>
      <c r="C18" s="5">
        <v>12.0</v>
      </c>
      <c r="D18" s="5">
        <v>1870.0</v>
      </c>
      <c r="E18" s="5">
        <v>155.8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15</v>
      </c>
      <c r="B19" s="6">
        <v>46174.0</v>
      </c>
      <c r="C19" s="5">
        <v>9.0</v>
      </c>
      <c r="D19" s="5">
        <v>1060.0</v>
      </c>
      <c r="E19" s="5">
        <v>117.8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17</v>
      </c>
      <c r="B20" s="6">
        <v>46023.0</v>
      </c>
      <c r="C20" s="5">
        <v>10.0</v>
      </c>
      <c r="D20" s="5">
        <v>2099.0</v>
      </c>
      <c r="E20" s="5">
        <v>209.9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17</v>
      </c>
      <c r="B21" s="6">
        <v>46054.0</v>
      </c>
      <c r="C21" s="5">
        <v>16.0</v>
      </c>
      <c r="D21" s="5">
        <v>5113.0</v>
      </c>
      <c r="E21" s="5">
        <v>319.6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 t="s">
        <v>17</v>
      </c>
      <c r="B22" s="6">
        <v>46082.0</v>
      </c>
      <c r="C22" s="5">
        <v>8.0</v>
      </c>
      <c r="D22" s="5">
        <v>1885.0</v>
      </c>
      <c r="E22" s="5">
        <v>235.6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 t="s">
        <v>17</v>
      </c>
      <c r="B23" s="6">
        <v>46113.0</v>
      </c>
      <c r="C23" s="5">
        <v>17.0</v>
      </c>
      <c r="D23" s="5">
        <v>5491.0</v>
      </c>
      <c r="E23" s="5">
        <v>323.0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 t="s">
        <v>17</v>
      </c>
      <c r="B24" s="6">
        <v>46143.0</v>
      </c>
      <c r="C24" s="5">
        <v>16.0</v>
      </c>
      <c r="D24" s="5">
        <v>3477.0</v>
      </c>
      <c r="E24" s="5">
        <v>217.3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 t="s">
        <v>17</v>
      </c>
      <c r="B25" s="6">
        <v>46174.0</v>
      </c>
      <c r="C25" s="5">
        <v>12.0</v>
      </c>
      <c r="D25" s="5">
        <v>3650.0</v>
      </c>
      <c r="E25" s="5">
        <v>304.2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 t="s">
        <v>18</v>
      </c>
      <c r="B26" s="6">
        <v>46023.0</v>
      </c>
      <c r="C26" s="5">
        <v>12.0</v>
      </c>
      <c r="D26" s="5">
        <v>3608.0</v>
      </c>
      <c r="E26" s="5">
        <v>300.7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 t="s">
        <v>18</v>
      </c>
      <c r="B27" s="6">
        <v>46054.0</v>
      </c>
      <c r="C27" s="5">
        <v>8.0</v>
      </c>
      <c r="D27" s="5">
        <v>2177.0</v>
      </c>
      <c r="E27" s="5">
        <v>272.1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18</v>
      </c>
      <c r="B28" s="6">
        <v>46082.0</v>
      </c>
      <c r="C28" s="5">
        <v>11.0</v>
      </c>
      <c r="D28" s="5">
        <v>2807.0</v>
      </c>
      <c r="E28" s="5">
        <v>255.2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18</v>
      </c>
      <c r="B29" s="6">
        <v>46113.0</v>
      </c>
      <c r="C29" s="5">
        <v>9.0</v>
      </c>
      <c r="D29" s="5">
        <v>1970.0</v>
      </c>
      <c r="E29" s="5">
        <v>218.9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18</v>
      </c>
      <c r="B30" s="6">
        <v>46143.0</v>
      </c>
      <c r="C30" s="5">
        <v>13.0</v>
      </c>
      <c r="D30" s="5">
        <v>3045.0</v>
      </c>
      <c r="E30" s="5">
        <v>234.2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 t="s">
        <v>18</v>
      </c>
      <c r="B31" s="6">
        <v>46174.0</v>
      </c>
      <c r="C31" s="5">
        <v>13.0</v>
      </c>
      <c r="D31" s="5">
        <v>2775.0</v>
      </c>
      <c r="E31" s="5">
        <v>213.5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 t="s">
        <v>19</v>
      </c>
      <c r="B32" s="6">
        <v>46023.0</v>
      </c>
      <c r="C32" s="5">
        <v>10.0</v>
      </c>
      <c r="D32" s="5">
        <v>1290.0</v>
      </c>
      <c r="E32" s="5">
        <v>129.0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 t="s">
        <v>19</v>
      </c>
      <c r="B33" s="6">
        <v>46054.0</v>
      </c>
      <c r="C33" s="5">
        <v>11.0</v>
      </c>
      <c r="D33" s="5">
        <v>1330.0</v>
      </c>
      <c r="E33" s="5">
        <v>120.9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 t="s">
        <v>19</v>
      </c>
      <c r="B34" s="6">
        <v>46082.0</v>
      </c>
      <c r="C34" s="5">
        <v>15.0</v>
      </c>
      <c r="D34" s="5">
        <v>1670.0</v>
      </c>
      <c r="E34" s="5">
        <v>111.3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 t="s">
        <v>19</v>
      </c>
      <c r="B35" s="6">
        <v>46113.0</v>
      </c>
      <c r="C35" s="5">
        <v>19.0</v>
      </c>
      <c r="D35" s="5">
        <v>2980.0</v>
      </c>
      <c r="E35" s="5">
        <v>156.8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 t="s">
        <v>19</v>
      </c>
      <c r="B36" s="6">
        <v>46143.0</v>
      </c>
      <c r="C36" s="5">
        <v>13.0</v>
      </c>
      <c r="D36" s="5">
        <v>1665.0</v>
      </c>
      <c r="E36" s="5">
        <v>128.1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19</v>
      </c>
      <c r="B37" s="6">
        <v>46174.0</v>
      </c>
      <c r="C37" s="5">
        <v>15.0</v>
      </c>
      <c r="D37" s="5">
        <v>1960.0</v>
      </c>
      <c r="E37" s="5">
        <v>130.7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75"/>
    <col customWidth="1" min="2" max="2" width="18.63"/>
    <col customWidth="1" min="3" max="3" width="21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13"/>
    <col customWidth="1" min="3" max="3" width="22.63"/>
    <col customWidth="1" min="4" max="4" width="22.25"/>
    <col customWidth="1" min="5" max="5" width="19.5"/>
    <col customWidth="1" min="6" max="6" width="22.25"/>
    <col customWidth="1" min="7" max="7" width="21.25"/>
    <col customWidth="1" min="8" max="8" width="27.13"/>
    <col customWidth="1" min="9" max="26" width="23.75"/>
  </cols>
  <sheetData>
    <row r="1">
      <c r="A1" s="1"/>
      <c r="B1" s="1"/>
      <c r="C1" s="1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7" t="s">
        <v>6</v>
      </c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/>
      <c r="B3" s="8"/>
      <c r="C3" s="8"/>
      <c r="D3" s="1"/>
      <c r="E3" s="8"/>
      <c r="F3" s="9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 t="s">
        <v>0</v>
      </c>
      <c r="B4" s="11" t="s">
        <v>7</v>
      </c>
      <c r="C4" s="11" t="s">
        <v>8</v>
      </c>
      <c r="D4" s="11" t="s">
        <v>10</v>
      </c>
      <c r="E4" s="11" t="s">
        <v>11</v>
      </c>
      <c r="F4" s="12" t="s">
        <v>12</v>
      </c>
      <c r="G4" s="13" t="s">
        <v>13</v>
      </c>
      <c r="H4" s="13" t="s">
        <v>14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 t="s">
        <v>5</v>
      </c>
      <c r="B5" s="16">
        <f>'Pivot Table 1'!B2</f>
        <v>15410</v>
      </c>
      <c r="C5" s="16">
        <f>'Pivot Table 1'!C2</f>
        <v>67</v>
      </c>
      <c r="D5" s="16">
        <f t="array" ref="D5">_xlfn.xlookup(A5,'Category targets'!A:A,'Category targets'!B:B,"not_found")</f>
        <v>12000</v>
      </c>
      <c r="E5" s="16">
        <f t="shared" ref="E5:E11" si="1">D5-B5</f>
        <v>-3410</v>
      </c>
      <c r="F5" s="21">
        <f t="shared" ref="F5:F10" si="2">(E5/D5)*100</f>
        <v>-28.41666667</v>
      </c>
      <c r="G5" s="21" t="str">
        <f t="shared" ref="G5:G11" si="3">if(B5&gt;=D5, "Above target", if(F5&gt;=-15, "Below target - watch", "Below target - critical))"))</f>
        <v>Above target</v>
      </c>
      <c r="H5" s="21" t="s">
        <v>21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4" t="s">
        <v>9</v>
      </c>
      <c r="B6" s="16">
        <f>'Pivot Table 1'!B3</f>
        <v>14090</v>
      </c>
      <c r="C6" s="16">
        <f>'Pivot Table 1'!C3</f>
        <v>66</v>
      </c>
      <c r="D6" s="16">
        <f t="array" ref="D6">_xlfn.xlookup(A6,'Category targets'!A:A,'Category targets'!B:B,"not_found")</f>
        <v>16500</v>
      </c>
      <c r="E6" s="16">
        <f t="shared" si="1"/>
        <v>2410</v>
      </c>
      <c r="F6" s="21">
        <f t="shared" si="2"/>
        <v>14.60606061</v>
      </c>
      <c r="G6" s="21" t="str">
        <f t="shared" si="3"/>
        <v>Below target - watch</v>
      </c>
      <c r="H6" s="21" t="s">
        <v>21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 t="s">
        <v>15</v>
      </c>
      <c r="B7" s="16">
        <f>'Pivot Table 1'!B4</f>
        <v>9790</v>
      </c>
      <c r="C7" s="16">
        <f>'Pivot Table 1'!C4</f>
        <v>73</v>
      </c>
      <c r="D7" s="16">
        <f t="array" ref="D7">_xlfn.xlookup(A7,'Category targets'!A:A,'Category targets'!B:B,"not_found")</f>
        <v>12000</v>
      </c>
      <c r="E7" s="16">
        <f t="shared" si="1"/>
        <v>2210</v>
      </c>
      <c r="F7" s="21">
        <f t="shared" si="2"/>
        <v>18.41666667</v>
      </c>
      <c r="G7" s="21" t="str">
        <f t="shared" si="3"/>
        <v>Below target - watch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4" t="s">
        <v>17</v>
      </c>
      <c r="B8" s="16">
        <f>'Pivot Table 1'!B5</f>
        <v>21715</v>
      </c>
      <c r="C8" s="16">
        <f>'Pivot Table 1'!C5</f>
        <v>79</v>
      </c>
      <c r="D8" s="16">
        <f t="array" ref="D8">_xlfn.xlookup(A8,'Category targets'!A:A,'Category targets'!B:B,"not_found")</f>
        <v>17000</v>
      </c>
      <c r="E8" s="16">
        <f t="shared" si="1"/>
        <v>-4715</v>
      </c>
      <c r="F8" s="21">
        <f t="shared" si="2"/>
        <v>-27.73529412</v>
      </c>
      <c r="G8" s="21" t="str">
        <f t="shared" si="3"/>
        <v>Above target</v>
      </c>
      <c r="H8" s="21" t="s">
        <v>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 t="s">
        <v>18</v>
      </c>
      <c r="B9" s="16">
        <f>'Pivot Table 1'!B6</f>
        <v>16382</v>
      </c>
      <c r="C9" s="16">
        <f>'Pivot Table 1'!C6</f>
        <v>66</v>
      </c>
      <c r="D9" s="16">
        <f t="array" ref="D9">_xlfn.xlookup(A9,'Category targets'!A:A,'Category targets'!B:B,"not_found")</f>
        <v>15500</v>
      </c>
      <c r="E9" s="16">
        <f t="shared" si="1"/>
        <v>-882</v>
      </c>
      <c r="F9" s="21">
        <f t="shared" si="2"/>
        <v>-5.690322581</v>
      </c>
      <c r="G9" s="21" t="str">
        <f t="shared" si="3"/>
        <v>Above target</v>
      </c>
      <c r="H9" s="21" t="s">
        <v>21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4" t="s">
        <v>19</v>
      </c>
      <c r="B10" s="16">
        <f>'Pivot Table 1'!B7</f>
        <v>10895</v>
      </c>
      <c r="C10" s="16">
        <f>'Pivot Table 1'!C7</f>
        <v>83</v>
      </c>
      <c r="D10" s="16">
        <f t="array" ref="D10">_xlfn.xlookup(A10,'Category targets'!A:A,'Category targets'!B:B,"not_found")</f>
        <v>13000</v>
      </c>
      <c r="E10" s="16">
        <f t="shared" si="1"/>
        <v>2105</v>
      </c>
      <c r="F10" s="21">
        <f t="shared" si="2"/>
        <v>16.19230769</v>
      </c>
      <c r="G10" s="21" t="str">
        <f t="shared" si="3"/>
        <v>Below target - watch</v>
      </c>
      <c r="H10" s="21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2" t="s">
        <v>20</v>
      </c>
      <c r="B11" s="22">
        <f>'Pivot Table 1'!B8</f>
        <v>88282</v>
      </c>
      <c r="C11" s="22">
        <f>'Pivot Table 1'!C8</f>
        <v>434</v>
      </c>
      <c r="D11" s="22">
        <f>sum(D5:D10)</f>
        <v>86000</v>
      </c>
      <c r="E11" s="22">
        <f t="shared" si="1"/>
        <v>-2282</v>
      </c>
      <c r="F11" s="23">
        <f>sum(F5:F10)</f>
        <v>-12.6272484</v>
      </c>
      <c r="G11" s="23" t="str">
        <f t="shared" si="3"/>
        <v>Above target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24"/>
      <c r="F12" s="3"/>
      <c r="G12" s="2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24"/>
      <c r="F13" s="3"/>
      <c r="G13" s="2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24"/>
      <c r="F14" s="3"/>
      <c r="G14" s="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24"/>
      <c r="F15" s="3"/>
      <c r="G15" s="2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24"/>
      <c r="F16" s="3"/>
      <c r="G16" s="24"/>
      <c r="H16" s="2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24"/>
      <c r="F17" s="3"/>
      <c r="G17" s="2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24"/>
      <c r="F18" s="3"/>
      <c r="G18" s="2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24"/>
      <c r="F19" s="3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24"/>
      <c r="F20" s="3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24"/>
      <c r="F21" s="3"/>
      <c r="G21" s="2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24"/>
      <c r="F22" s="3"/>
      <c r="G22" s="2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24"/>
      <c r="F23" s="3"/>
      <c r="G23" s="2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24"/>
      <c r="F24" s="3"/>
      <c r="G24" s="2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24"/>
      <c r="F25" s="3"/>
      <c r="G25" s="2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24"/>
      <c r="F26" s="3"/>
      <c r="G26" s="2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24"/>
      <c r="F27" s="3"/>
      <c r="G27" s="2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24"/>
      <c r="F28" s="3"/>
      <c r="G28" s="2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24"/>
      <c r="F29" s="3"/>
      <c r="G29" s="2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24"/>
      <c r="F30" s="3"/>
      <c r="G30" s="2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24"/>
      <c r="F31" s="3"/>
      <c r="G31" s="2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24"/>
      <c r="F32" s="3"/>
      <c r="G32" s="2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24"/>
      <c r="F33" s="3"/>
      <c r="G33" s="2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24"/>
      <c r="F34" s="3"/>
      <c r="G34" s="2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24"/>
      <c r="F35" s="3"/>
      <c r="G35" s="2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24"/>
      <c r="F36" s="3"/>
      <c r="G36" s="2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24"/>
      <c r="F37" s="3"/>
      <c r="G37" s="2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24"/>
      <c r="F38" s="3"/>
      <c r="G38" s="2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24"/>
      <c r="F39" s="3"/>
      <c r="G39" s="2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24"/>
      <c r="F40" s="3"/>
      <c r="G40" s="2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D2:E2"/>
  </mergeCells>
  <conditionalFormatting sqref="G1:G1000">
    <cfRule type="containsText" dxfId="0" priority="1" operator="containsText" text="Above target">
      <formula>NOT(ISERROR(SEARCH(("Above target"),(G1))))</formula>
    </cfRule>
  </conditionalFormatting>
  <conditionalFormatting sqref="G1:G1000">
    <cfRule type="containsText" dxfId="1" priority="2" operator="containsText" text="Below target - watch">
      <formula>NOT(ISERROR(SEARCH(("Below target - watch"),(G1))))</formula>
    </cfRule>
  </conditionalFormatting>
  <conditionalFormatting sqref="G1:G1000">
    <cfRule type="containsText" dxfId="2" priority="3" operator="containsText" text="Below target - critical">
      <formula>NOT(ISERROR(SEARCH(("Below target - critical"),(G1))))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>
      <c r="A1" s="15" t="s">
        <v>0</v>
      </c>
      <c r="B1" s="15" t="s">
        <v>16</v>
      </c>
    </row>
    <row r="2">
      <c r="A2" s="17" t="s">
        <v>15</v>
      </c>
      <c r="B2" s="17">
        <v>12000.0</v>
      </c>
    </row>
    <row r="3">
      <c r="A3" s="18" t="s">
        <v>9</v>
      </c>
      <c r="B3" s="18">
        <v>16500.0</v>
      </c>
    </row>
    <row r="4">
      <c r="A4" s="17" t="s">
        <v>19</v>
      </c>
      <c r="B4" s="17">
        <v>13000.0</v>
      </c>
    </row>
    <row r="5">
      <c r="A5" s="18" t="s">
        <v>18</v>
      </c>
      <c r="B5" s="18">
        <v>15500.0</v>
      </c>
    </row>
    <row r="6">
      <c r="A6" s="17" t="s">
        <v>17</v>
      </c>
      <c r="B6" s="17">
        <v>17000.0</v>
      </c>
    </row>
    <row r="7">
      <c r="A7" s="19" t="s">
        <v>5</v>
      </c>
      <c r="B7" s="19">
        <v>12000.0</v>
      </c>
    </row>
    <row r="8">
      <c r="A8" s="20"/>
      <c r="B8" s="20"/>
    </row>
  </sheetData>
  <drawing r:id="rId1"/>
</worksheet>
</file>